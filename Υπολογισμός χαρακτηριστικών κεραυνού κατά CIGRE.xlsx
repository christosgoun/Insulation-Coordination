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15%" sheetId="2" r:id="rId5"/>
  </sheets>
  <definedNames/>
  <calcPr/>
  <extLst>
    <ext uri="GoogleSheetsCustomDataVersion2">
      <go:sheetsCustomData xmlns:go="http://customooxmlschemas.google.com/" r:id="rId6" roundtripDataChecksum="usYKiInOhbcT3c5GYt1qLTjiJo5zpgJIv2NH7toMWuM="/>
    </ext>
  </extLst>
</workbook>
</file>

<file path=xl/sharedStrings.xml><?xml version="1.0" encoding="utf-8"?>
<sst xmlns="http://schemas.openxmlformats.org/spreadsheetml/2006/main" count="8" uniqueCount="8">
  <si>
    <t>Imax (kA)</t>
  </si>
  <si>
    <t>Tf</t>
  </si>
  <si>
    <t>Smax</t>
  </si>
  <si>
    <t>Ipeak (kA)</t>
  </si>
  <si>
    <t>Tf (μs)</t>
  </si>
  <si>
    <t>Smax (kA/μs)</t>
  </si>
  <si>
    <t>J</t>
  </si>
  <si>
    <t>Jmax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</si>
</sst>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b/>
      <color rgb="FFFFFFFF"/>
      <name val="Arial"/>
    </font>
    <font>
      <color theme="1"/>
      <name val="Arial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2" fillId="0" fontId="1" numFmtId="164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readingOrder="0" vertical="center"/>
    </xf>
    <xf borderId="3" fillId="0" fontId="1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9.25"/>
    <col customWidth="1" min="3" max="3" width="18.0"/>
    <col customWidth="1" min="4" max="6" width="8.63"/>
    <col customWidth="1" min="7" max="7" width="11.88"/>
    <col customWidth="1" min="8" max="8" width="16.25"/>
    <col customWidth="1" min="9" max="9" width="15.5"/>
    <col customWidth="1" min="10" max="26" width="8.63"/>
  </cols>
  <sheetData>
    <row r="1" ht="19.5" customHeight="1">
      <c r="A1" s="1" t="s">
        <v>0</v>
      </c>
      <c r="B1" s="1" t="s">
        <v>1</v>
      </c>
      <c r="C1" s="1" t="s">
        <v>2</v>
      </c>
      <c r="G1" s="2" t="s">
        <v>3</v>
      </c>
      <c r="H1" s="2" t="s">
        <v>4</v>
      </c>
      <c r="I1" s="2" t="s">
        <v>5</v>
      </c>
    </row>
    <row r="2" ht="14.25" customHeight="1">
      <c r="A2" s="1">
        <v>4.0</v>
      </c>
      <c r="B2" s="1">
        <f t="shared" ref="B2:B159" si="1">IF(A2&lt;3, "Εκτός ορίων", IF(A2&lt;=20, 1.77*A2^0.188, 0.906*A2^0.411))*10^-6</f>
        <v>0.000002296997617</v>
      </c>
      <c r="C2" s="1">
        <f t="shared" ref="C2:C159" si="2">IF(A2&lt;3, "Εκτός ορίων", IF(A2&lt;=20, 12*A2^0.171, 6.5*A2^0.376))*10^9</f>
        <v>15210150264</v>
      </c>
      <c r="G2" s="3">
        <v>3.0</v>
      </c>
      <c r="H2" s="4">
        <f t="shared" ref="H2:H17" si="3">IF(G2&lt;3, "Εκτός ορίων", IF(G2&lt;=20, 1.77*G2^0.188, 0.906*G2^0.411))</f>
        <v>2.176065994</v>
      </c>
      <c r="I2" s="4">
        <f t="shared" ref="I2:I17" si="4">IF(G2&lt;3, "Εκτός ορίων", IF(G2&lt;=20, 12*G2^0.171, 6.5*G2^0.376))</f>
        <v>14.48001396</v>
      </c>
    </row>
    <row r="3" ht="14.25" customHeight="1">
      <c r="A3" s="1">
        <v>3.0</v>
      </c>
      <c r="B3" s="1">
        <f t="shared" si="1"/>
        <v>0.000002176065994</v>
      </c>
      <c r="C3" s="1">
        <f t="shared" si="2"/>
        <v>14480013962</v>
      </c>
      <c r="G3" s="5">
        <v>3.7</v>
      </c>
      <c r="H3" s="6">
        <f t="shared" si="3"/>
        <v>2.263576573</v>
      </c>
      <c r="I3" s="6">
        <f t="shared" si="4"/>
        <v>15.00872295</v>
      </c>
    </row>
    <row r="4" ht="14.25" customHeight="1">
      <c r="A4" s="1">
        <v>100.0</v>
      </c>
      <c r="B4" s="1">
        <f t="shared" si="1"/>
        <v>0.000006013512218</v>
      </c>
      <c r="C4" s="1">
        <f t="shared" si="2"/>
        <v>36720903363</v>
      </c>
      <c r="G4" s="5">
        <v>5.5</v>
      </c>
      <c r="H4" s="6">
        <f t="shared" si="3"/>
        <v>2.43871726</v>
      </c>
      <c r="I4" s="6">
        <f t="shared" si="4"/>
        <v>16.06139511</v>
      </c>
    </row>
    <row r="5" ht="14.25" customHeight="1">
      <c r="A5" s="1">
        <v>300.0</v>
      </c>
      <c r="B5" s="1">
        <f t="shared" si="1"/>
        <v>0.000009445501762</v>
      </c>
      <c r="C5" s="1">
        <f t="shared" si="2"/>
        <v>55502295895</v>
      </c>
      <c r="G5" s="5">
        <v>7.5</v>
      </c>
      <c r="H5" s="6">
        <f t="shared" si="3"/>
        <v>2.585144264</v>
      </c>
      <c r="I5" s="6">
        <f t="shared" si="4"/>
        <v>16.93622919</v>
      </c>
    </row>
    <row r="6" ht="14.25" customHeight="1">
      <c r="A6" s="1">
        <v>500.0</v>
      </c>
      <c r="B6" s="1">
        <f t="shared" si="1"/>
        <v>0.00001165211788</v>
      </c>
      <c r="C6" s="1">
        <f t="shared" si="2"/>
        <v>67255232484</v>
      </c>
      <c r="G6" s="5">
        <v>8.2</v>
      </c>
      <c r="H6" s="6">
        <f t="shared" si="3"/>
        <v>2.628877023</v>
      </c>
      <c r="I6" s="6">
        <f t="shared" si="4"/>
        <v>17.19663268</v>
      </c>
    </row>
    <row r="7" ht="14.25" customHeight="1">
      <c r="A7" s="1">
        <v>400.0</v>
      </c>
      <c r="B7" s="1">
        <f t="shared" si="1"/>
        <v>0.00001063101802</v>
      </c>
      <c r="C7" s="1">
        <f t="shared" si="2"/>
        <v>61842624690</v>
      </c>
      <c r="G7" s="5">
        <v>8.7</v>
      </c>
      <c r="H7" s="6">
        <f t="shared" si="3"/>
        <v>2.658293234</v>
      </c>
      <c r="I7" s="6">
        <f t="shared" si="4"/>
        <v>17.3715687</v>
      </c>
    </row>
    <row r="8" ht="14.25" customHeight="1">
      <c r="A8" s="1">
        <v>450.0</v>
      </c>
      <c r="B8" s="1">
        <f t="shared" si="1"/>
        <v>0.00001115831303</v>
      </c>
      <c r="C8" s="1">
        <f t="shared" si="2"/>
        <v>64642964058</v>
      </c>
      <c r="G8" s="5">
        <v>9.5</v>
      </c>
      <c r="H8" s="6">
        <f t="shared" si="3"/>
        <v>2.702621978</v>
      </c>
      <c r="I8" s="6">
        <f t="shared" si="4"/>
        <v>17.63485863</v>
      </c>
    </row>
    <row r="9" ht="14.25" customHeight="1">
      <c r="A9" s="1">
        <v>457.0</v>
      </c>
      <c r="B9" s="1">
        <f t="shared" si="1"/>
        <v>0.0000112293277</v>
      </c>
      <c r="C9" s="1">
        <f t="shared" si="2"/>
        <v>65019233874</v>
      </c>
      <c r="G9" s="5">
        <v>10.0</v>
      </c>
      <c r="H9" s="6">
        <f t="shared" si="3"/>
        <v>2.728809802</v>
      </c>
      <c r="I9" s="6">
        <f t="shared" si="4"/>
        <v>17.79021702</v>
      </c>
    </row>
    <row r="10" ht="14.25" customHeight="1">
      <c r="A10" s="1">
        <v>310.0</v>
      </c>
      <c r="B10" s="1">
        <f t="shared" si="1"/>
        <v>0.000009573656782</v>
      </c>
      <c r="C10" s="1">
        <f t="shared" si="2"/>
        <v>56190817887</v>
      </c>
      <c r="G10" s="5">
        <v>20.5</v>
      </c>
      <c r="H10" s="6">
        <f t="shared" si="3"/>
        <v>3.135155127</v>
      </c>
      <c r="I10" s="6">
        <f t="shared" si="4"/>
        <v>20.23637918</v>
      </c>
    </row>
    <row r="11" ht="14.25" customHeight="1">
      <c r="A11" s="1">
        <v>250.0</v>
      </c>
      <c r="B11" s="1">
        <f t="shared" si="1"/>
        <v>0.000008763579711</v>
      </c>
      <c r="C11" s="1">
        <f t="shared" si="2"/>
        <v>51824939038</v>
      </c>
      <c r="G11" s="5">
        <v>21.0</v>
      </c>
      <c r="H11" s="6">
        <f t="shared" si="3"/>
        <v>3.166360272</v>
      </c>
      <c r="I11" s="6">
        <f t="shared" si="4"/>
        <v>20.4205677</v>
      </c>
    </row>
    <row r="12" ht="14.25" customHeight="1">
      <c r="A12" s="1">
        <v>200.0</v>
      </c>
      <c r="B12" s="1">
        <f t="shared" si="1"/>
        <v>0.00000799560859</v>
      </c>
      <c r="C12" s="1">
        <f t="shared" si="2"/>
        <v>47654139851</v>
      </c>
      <c r="G12" s="5">
        <v>27.5</v>
      </c>
      <c r="H12" s="6">
        <f t="shared" si="3"/>
        <v>3.537479525</v>
      </c>
      <c r="I12" s="6">
        <f t="shared" si="4"/>
        <v>22.59968831</v>
      </c>
    </row>
    <row r="13" ht="14.25" customHeight="1">
      <c r="A13" s="1">
        <v>215.0</v>
      </c>
      <c r="B13" s="1">
        <f t="shared" si="1"/>
        <v>0.000008236835728</v>
      </c>
      <c r="C13" s="1">
        <f t="shared" si="2"/>
        <v>48967757703</v>
      </c>
      <c r="G13" s="5">
        <v>30.5</v>
      </c>
      <c r="H13" s="6">
        <f t="shared" si="3"/>
        <v>3.691266758</v>
      </c>
      <c r="I13" s="6">
        <f t="shared" si="4"/>
        <v>23.49687444</v>
      </c>
    </row>
    <row r="14" ht="14.25" customHeight="1">
      <c r="A14" s="1">
        <v>160.0</v>
      </c>
      <c r="B14" s="1">
        <f t="shared" si="1"/>
        <v>0.000007294936411</v>
      </c>
      <c r="C14" s="1">
        <f t="shared" si="2"/>
        <v>43819000795</v>
      </c>
      <c r="G14" s="5">
        <v>33.0</v>
      </c>
      <c r="H14" s="6">
        <f t="shared" si="3"/>
        <v>3.812742074</v>
      </c>
      <c r="I14" s="6">
        <f t="shared" si="4"/>
        <v>24.20330079</v>
      </c>
    </row>
    <row r="15" ht="14.25" customHeight="1">
      <c r="A15" s="1">
        <v>140.0</v>
      </c>
      <c r="B15" s="1">
        <f t="shared" si="1"/>
        <v>0.00000690536788</v>
      </c>
      <c r="C15" s="1">
        <f t="shared" si="2"/>
        <v>41673262154</v>
      </c>
      <c r="G15" s="5">
        <v>40.5</v>
      </c>
      <c r="H15" s="6">
        <f t="shared" si="3"/>
        <v>4.147555558</v>
      </c>
      <c r="I15" s="6">
        <f t="shared" si="4"/>
        <v>26.14065379</v>
      </c>
    </row>
    <row r="16" ht="14.25" customHeight="1">
      <c r="A16" s="1">
        <v>80.0</v>
      </c>
      <c r="B16" s="1">
        <f t="shared" si="1"/>
        <v>0.000005486535358</v>
      </c>
      <c r="C16" s="1">
        <f t="shared" si="2"/>
        <v>33765656010</v>
      </c>
      <c r="G16" s="5">
        <v>100.5</v>
      </c>
      <c r="H16" s="6">
        <f t="shared" si="3"/>
        <v>6.025851837</v>
      </c>
      <c r="I16" s="6">
        <f t="shared" si="4"/>
        <v>36.78983126</v>
      </c>
    </row>
    <row r="17" ht="14.25" customHeight="1">
      <c r="A17" s="1">
        <v>90.0</v>
      </c>
      <c r="B17" s="1">
        <f t="shared" si="1"/>
        <v>0.000005758665717</v>
      </c>
      <c r="C17" s="1">
        <f t="shared" si="2"/>
        <v>35294622420</v>
      </c>
      <c r="G17" s="5">
        <v>244.0</v>
      </c>
      <c r="H17" s="6">
        <f t="shared" si="3"/>
        <v>8.676516885</v>
      </c>
      <c r="I17" s="6">
        <f t="shared" si="4"/>
        <v>51.35372266</v>
      </c>
    </row>
    <row r="18" ht="14.25" customHeight="1">
      <c r="A18" s="1">
        <v>95.0</v>
      </c>
      <c r="B18" s="1">
        <f t="shared" si="1"/>
        <v>0.000005888065051</v>
      </c>
      <c r="C18" s="1">
        <f t="shared" si="2"/>
        <v>36019479457</v>
      </c>
    </row>
    <row r="19" ht="14.25" customHeight="1">
      <c r="A19" s="1">
        <v>125.0</v>
      </c>
      <c r="B19" s="1">
        <f t="shared" si="1"/>
        <v>0.000006591104739</v>
      </c>
      <c r="C19" s="1">
        <f t="shared" si="2"/>
        <v>39934800715</v>
      </c>
    </row>
    <row r="20" ht="14.25" customHeight="1">
      <c r="A20" s="1">
        <v>140.0</v>
      </c>
      <c r="B20" s="1">
        <f t="shared" si="1"/>
        <v>0.00000690536788</v>
      </c>
      <c r="C20" s="1">
        <f t="shared" si="2"/>
        <v>41673262154</v>
      </c>
    </row>
    <row r="21" ht="14.25" customHeight="1">
      <c r="A21" s="1">
        <v>145.0</v>
      </c>
      <c r="B21" s="1">
        <f t="shared" si="1"/>
        <v>0.000007005682428</v>
      </c>
      <c r="C21" s="1">
        <f t="shared" si="2"/>
        <v>42226756654</v>
      </c>
    </row>
    <row r="22" ht="14.25" customHeight="1">
      <c r="A22" s="1">
        <v>5.0</v>
      </c>
      <c r="B22" s="1">
        <f t="shared" si="1"/>
        <v>0.000002395408725</v>
      </c>
      <c r="C22" s="1">
        <f t="shared" si="2"/>
        <v>15801747463</v>
      </c>
    </row>
    <row r="23" ht="14.25" customHeight="1">
      <c r="A23" s="1">
        <v>4.0</v>
      </c>
      <c r="B23" s="1">
        <f t="shared" si="1"/>
        <v>0.000002296997617</v>
      </c>
      <c r="C23" s="1">
        <f t="shared" si="2"/>
        <v>15210150264</v>
      </c>
    </row>
    <row r="24" ht="14.25" customHeight="1">
      <c r="A24" s="1">
        <v>4.2</v>
      </c>
      <c r="B24" s="1">
        <f t="shared" si="1"/>
        <v>0.000002318163871</v>
      </c>
      <c r="C24" s="1">
        <f t="shared" si="2"/>
        <v>15337581190</v>
      </c>
    </row>
    <row r="25" ht="14.25" customHeight="1">
      <c r="A25" s="1">
        <v>8.0</v>
      </c>
      <c r="B25" s="1">
        <f t="shared" si="1"/>
        <v>0.000002616701503</v>
      </c>
      <c r="C25" s="1">
        <f t="shared" si="2"/>
        <v>17124174069</v>
      </c>
    </row>
    <row r="26" ht="14.25" customHeight="1">
      <c r="A26" s="1">
        <v>9.0</v>
      </c>
      <c r="B26" s="1">
        <f t="shared" si="1"/>
        <v>0.00000267528995</v>
      </c>
      <c r="C26" s="1">
        <f t="shared" si="2"/>
        <v>17472567027</v>
      </c>
    </row>
    <row r="27" ht="14.25" customHeight="1">
      <c r="A27" s="1">
        <v>10.0</v>
      </c>
      <c r="B27" s="1">
        <f t="shared" si="1"/>
        <v>0.000002728809802</v>
      </c>
      <c r="C27" s="1">
        <f t="shared" si="2"/>
        <v>17790217022</v>
      </c>
    </row>
    <row r="28" ht="14.25" customHeight="1">
      <c r="A28" s="1">
        <v>9.5</v>
      </c>
      <c r="B28" s="1">
        <f t="shared" si="1"/>
        <v>0.000002702621978</v>
      </c>
      <c r="C28" s="1">
        <f t="shared" si="2"/>
        <v>17634858632</v>
      </c>
    </row>
    <row r="29" ht="14.25" customHeight="1">
      <c r="A29" s="1">
        <v>15.0</v>
      </c>
      <c r="B29" s="1">
        <f t="shared" si="1"/>
        <v>0.000002944953373</v>
      </c>
      <c r="C29" s="1">
        <f t="shared" si="2"/>
        <v>19067460323</v>
      </c>
    </row>
    <row r="30" ht="14.25" customHeight="1">
      <c r="A30" s="1">
        <v>13.0</v>
      </c>
      <c r="B30" s="1">
        <f t="shared" si="1"/>
        <v>0.000002866781654</v>
      </c>
      <c r="C30" s="1">
        <f t="shared" si="2"/>
        <v>18606537360</v>
      </c>
    </row>
    <row r="31" ht="14.25" customHeight="1">
      <c r="A31" s="1">
        <v>200.0</v>
      </c>
      <c r="B31" s="1">
        <f t="shared" si="1"/>
        <v>0.00000799560859</v>
      </c>
      <c r="C31" s="1">
        <f t="shared" si="2"/>
        <v>47654139851</v>
      </c>
    </row>
    <row r="32" ht="14.25" customHeight="1">
      <c r="A32" s="1">
        <v>210.0</v>
      </c>
      <c r="B32" s="1">
        <f t="shared" si="1"/>
        <v>0.000008157560959</v>
      </c>
      <c r="C32" s="1">
        <f t="shared" si="2"/>
        <v>48536427983</v>
      </c>
    </row>
    <row r="33" ht="14.25" customHeight="1">
      <c r="A33" s="1">
        <v>100.0</v>
      </c>
      <c r="B33" s="1">
        <f t="shared" si="1"/>
        <v>0.000006013512218</v>
      </c>
      <c r="C33" s="1">
        <f t="shared" si="2"/>
        <v>36720903363</v>
      </c>
    </row>
    <row r="34" ht="14.25" customHeight="1">
      <c r="A34" s="1">
        <v>70.0</v>
      </c>
      <c r="B34" s="1">
        <f t="shared" si="1"/>
        <v>0.000005193540135</v>
      </c>
      <c r="C34" s="1">
        <f t="shared" si="2"/>
        <v>32112211807</v>
      </c>
    </row>
    <row r="35" ht="14.25" customHeight="1">
      <c r="A35" s="1">
        <v>60.0</v>
      </c>
      <c r="B35" s="1">
        <f t="shared" si="1"/>
        <v>0.000004874705255</v>
      </c>
      <c r="C35" s="1">
        <f t="shared" si="2"/>
        <v>30303879248</v>
      </c>
    </row>
    <row r="36" ht="14.25" customHeight="1">
      <c r="A36" s="1">
        <v>50.0</v>
      </c>
      <c r="B36" s="1">
        <f t="shared" si="1"/>
        <v>0.000004522773819</v>
      </c>
      <c r="C36" s="1">
        <f t="shared" si="2"/>
        <v>28296067204</v>
      </c>
    </row>
    <row r="37" ht="14.25" customHeight="1">
      <c r="A37" s="1">
        <v>54.0</v>
      </c>
      <c r="B37" s="1">
        <f t="shared" si="1"/>
        <v>0.00000466812023</v>
      </c>
      <c r="C37" s="1">
        <f t="shared" si="2"/>
        <v>29126842696</v>
      </c>
    </row>
    <row r="38" ht="14.25" customHeight="1">
      <c r="A38" s="1">
        <v>57.0</v>
      </c>
      <c r="B38" s="1">
        <f t="shared" si="1"/>
        <v>0.000004773014606</v>
      </c>
      <c r="C38" s="1">
        <f t="shared" si="2"/>
        <v>29725030053</v>
      </c>
    </row>
    <row r="39" ht="14.25" customHeight="1">
      <c r="A39" s="1">
        <v>3.0</v>
      </c>
      <c r="B39" s="1">
        <f t="shared" si="1"/>
        <v>0.000002176065994</v>
      </c>
      <c r="C39" s="1">
        <f t="shared" si="2"/>
        <v>14480013962</v>
      </c>
    </row>
    <row r="40" ht="14.25" customHeight="1">
      <c r="A40" s="1">
        <v>3.5</v>
      </c>
      <c r="B40" s="1">
        <f t="shared" si="1"/>
        <v>0.000002240051787</v>
      </c>
      <c r="C40" s="1">
        <f t="shared" si="2"/>
        <v>14866778866</v>
      </c>
    </row>
    <row r="41" ht="14.25" customHeight="1">
      <c r="A41" s="1">
        <v>5.0</v>
      </c>
      <c r="B41" s="1">
        <f t="shared" si="1"/>
        <v>0.000002395408725</v>
      </c>
      <c r="C41" s="1">
        <f t="shared" si="2"/>
        <v>15801747463</v>
      </c>
    </row>
    <row r="42" ht="14.25" customHeight="1">
      <c r="A42" s="1">
        <v>5.2</v>
      </c>
      <c r="B42" s="1">
        <f t="shared" si="1"/>
        <v>0.000002413136535</v>
      </c>
      <c r="C42" s="1">
        <f t="shared" si="2"/>
        <v>15908081885</v>
      </c>
    </row>
    <row r="43" ht="14.25" customHeight="1">
      <c r="A43" s="1">
        <v>500.0</v>
      </c>
      <c r="B43" s="1">
        <f t="shared" si="1"/>
        <v>0.00001165211788</v>
      </c>
      <c r="C43" s="1">
        <f t="shared" si="2"/>
        <v>67255232484</v>
      </c>
    </row>
    <row r="44" ht="14.25" customHeight="1">
      <c r="A44" s="1">
        <v>100.0</v>
      </c>
      <c r="B44" s="1">
        <f t="shared" si="1"/>
        <v>0.000006013512218</v>
      </c>
      <c r="C44" s="1">
        <f t="shared" si="2"/>
        <v>36720903363</v>
      </c>
    </row>
    <row r="45" ht="14.25" customHeight="1">
      <c r="A45" s="1">
        <v>55.0</v>
      </c>
      <c r="B45" s="1">
        <f t="shared" si="1"/>
        <v>0.000004703457922</v>
      </c>
      <c r="C45" s="1">
        <f t="shared" si="2"/>
        <v>29328491643</v>
      </c>
    </row>
    <row r="46" ht="14.25" customHeight="1">
      <c r="A46" s="1">
        <v>57.0</v>
      </c>
      <c r="B46" s="1">
        <f t="shared" si="1"/>
        <v>0.000004773014606</v>
      </c>
      <c r="C46" s="1">
        <f t="shared" si="2"/>
        <v>29725030053</v>
      </c>
    </row>
    <row r="47" ht="14.25" customHeight="1">
      <c r="A47" s="1">
        <v>15.0</v>
      </c>
      <c r="B47" s="1">
        <f t="shared" si="1"/>
        <v>0.000002944953373</v>
      </c>
      <c r="C47" s="1">
        <f t="shared" si="2"/>
        <v>19067460323</v>
      </c>
    </row>
    <row r="48" ht="14.25" customHeight="1">
      <c r="A48" s="1">
        <v>8.0</v>
      </c>
      <c r="B48" s="1">
        <f t="shared" si="1"/>
        <v>0.000002616701503</v>
      </c>
      <c r="C48" s="1">
        <f t="shared" si="2"/>
        <v>17124174069</v>
      </c>
    </row>
    <row r="49" ht="14.25" customHeight="1">
      <c r="A49" s="1">
        <v>7.0</v>
      </c>
      <c r="B49" s="1">
        <f t="shared" si="1"/>
        <v>0.00000255182976</v>
      </c>
      <c r="C49" s="1">
        <f t="shared" si="2"/>
        <v>16737593299</v>
      </c>
    </row>
    <row r="50" ht="14.25" customHeight="1">
      <c r="A50" s="1">
        <v>209.0</v>
      </c>
      <c r="B50" s="1">
        <f t="shared" si="1"/>
        <v>0.000008141573</v>
      </c>
      <c r="C50" s="1">
        <f t="shared" si="2"/>
        <v>48449395217</v>
      </c>
    </row>
    <row r="51" ht="14.25" customHeight="1">
      <c r="A51" s="1">
        <v>3.9</v>
      </c>
      <c r="B51" s="1">
        <f t="shared" si="1"/>
        <v>0.000002286090466</v>
      </c>
      <c r="C51" s="1">
        <f t="shared" si="2"/>
        <v>15144442612</v>
      </c>
    </row>
    <row r="52" ht="14.25" customHeight="1">
      <c r="A52" s="1">
        <v>9.5</v>
      </c>
      <c r="B52" s="1">
        <f t="shared" si="1"/>
        <v>0.000002702621978</v>
      </c>
      <c r="C52" s="1">
        <f t="shared" si="2"/>
        <v>17634858632</v>
      </c>
    </row>
    <row r="53" ht="14.25" customHeight="1">
      <c r="A53" s="1">
        <v>3.7</v>
      </c>
      <c r="B53" s="1">
        <f t="shared" si="1"/>
        <v>0.000002263576573</v>
      </c>
      <c r="C53" s="1">
        <f t="shared" si="2"/>
        <v>15008722948</v>
      </c>
    </row>
    <row r="54" ht="14.25" customHeight="1">
      <c r="A54" s="1">
        <v>59.5</v>
      </c>
      <c r="B54" s="1">
        <f t="shared" si="1"/>
        <v>0.000004857968233</v>
      </c>
      <c r="C54" s="1">
        <f t="shared" si="2"/>
        <v>30208679097</v>
      </c>
    </row>
    <row r="55" ht="14.25" customHeight="1">
      <c r="A55" s="1">
        <v>57.0</v>
      </c>
      <c r="B55" s="1">
        <f t="shared" si="1"/>
        <v>0.000004773014606</v>
      </c>
      <c r="C55" s="1">
        <f t="shared" si="2"/>
        <v>29725030053</v>
      </c>
    </row>
    <row r="56" ht="14.25" customHeight="1">
      <c r="A56" s="1">
        <v>65.0</v>
      </c>
      <c r="B56" s="1">
        <f t="shared" si="1"/>
        <v>0.000005037738117</v>
      </c>
      <c r="C56" s="1">
        <f t="shared" si="2"/>
        <v>31229769495</v>
      </c>
    </row>
    <row r="57" ht="14.25" customHeight="1">
      <c r="A57" s="1">
        <v>5.2</v>
      </c>
      <c r="B57" s="1">
        <f t="shared" si="1"/>
        <v>0.000002413136535</v>
      </c>
      <c r="C57" s="1">
        <f t="shared" si="2"/>
        <v>15908081885</v>
      </c>
    </row>
    <row r="58" ht="14.25" customHeight="1">
      <c r="A58" s="1">
        <v>70.0</v>
      </c>
      <c r="B58" s="1">
        <f t="shared" si="1"/>
        <v>0.000005193540135</v>
      </c>
      <c r="C58" s="1">
        <f t="shared" si="2"/>
        <v>32112211807</v>
      </c>
    </row>
    <row r="59" ht="14.25" customHeight="1">
      <c r="A59" s="1">
        <v>200.0</v>
      </c>
      <c r="B59" s="1">
        <f t="shared" si="1"/>
        <v>0.00000799560859</v>
      </c>
      <c r="C59" s="1">
        <f t="shared" si="2"/>
        <v>47654139851</v>
      </c>
    </row>
    <row r="60" ht="14.25" customHeight="1">
      <c r="A60" s="1">
        <v>150.0</v>
      </c>
      <c r="B60" s="1">
        <f t="shared" si="1"/>
        <v>0.000007103979592</v>
      </c>
      <c r="C60" s="1">
        <f t="shared" si="2"/>
        <v>42768465664</v>
      </c>
    </row>
    <row r="61" ht="14.25" customHeight="1">
      <c r="A61" s="1">
        <v>135.0</v>
      </c>
      <c r="B61" s="1">
        <f t="shared" si="1"/>
        <v>0.000006802920199</v>
      </c>
      <c r="C61" s="1">
        <f t="shared" si="2"/>
        <v>41107290640</v>
      </c>
    </row>
    <row r="62" ht="14.25" customHeight="1">
      <c r="A62" s="1">
        <v>132.0</v>
      </c>
      <c r="B62" s="1">
        <f t="shared" si="1"/>
        <v>0.000006740375377</v>
      </c>
      <c r="C62" s="1">
        <f t="shared" si="2"/>
        <v>40761405895</v>
      </c>
    </row>
    <row r="63" ht="14.25" customHeight="1">
      <c r="A63" s="1">
        <v>3.0</v>
      </c>
      <c r="B63" s="1">
        <f t="shared" si="1"/>
        <v>0.000002176065994</v>
      </c>
      <c r="C63" s="1">
        <f t="shared" si="2"/>
        <v>14480013962</v>
      </c>
    </row>
    <row r="64" ht="14.25" customHeight="1">
      <c r="A64" s="1">
        <v>132.5</v>
      </c>
      <c r="B64" s="1">
        <f t="shared" si="1"/>
        <v>0.000006750857233</v>
      </c>
      <c r="C64" s="1">
        <f t="shared" si="2"/>
        <v>40819391550</v>
      </c>
    </row>
    <row r="65" ht="14.25" customHeight="1">
      <c r="A65" s="1">
        <v>13.5</v>
      </c>
      <c r="B65" s="1">
        <f t="shared" si="1"/>
        <v>0.000002887194321</v>
      </c>
      <c r="C65" s="1">
        <f t="shared" si="2"/>
        <v>18727004742</v>
      </c>
    </row>
    <row r="66" ht="14.25" customHeight="1">
      <c r="A66" s="1">
        <v>500.0</v>
      </c>
      <c r="B66" s="1">
        <f t="shared" si="1"/>
        <v>0.00001165211788</v>
      </c>
      <c r="C66" s="1">
        <f t="shared" si="2"/>
        <v>67255232484</v>
      </c>
    </row>
    <row r="67" ht="14.25" customHeight="1">
      <c r="A67" s="1">
        <v>350.0</v>
      </c>
      <c r="B67" s="1">
        <f t="shared" si="1"/>
        <v>0.00001006329407</v>
      </c>
      <c r="C67" s="1">
        <f t="shared" si="2"/>
        <v>58814301198</v>
      </c>
    </row>
    <row r="68" ht="14.25" customHeight="1">
      <c r="A68" s="1">
        <v>300.0</v>
      </c>
      <c r="B68" s="1">
        <f t="shared" si="1"/>
        <v>0.000009445501762</v>
      </c>
      <c r="C68" s="1">
        <f t="shared" si="2"/>
        <v>55502295895</v>
      </c>
    </row>
    <row r="69" ht="14.25" customHeight="1">
      <c r="A69" s="1">
        <v>250.0</v>
      </c>
      <c r="B69" s="1">
        <f t="shared" si="1"/>
        <v>0.000008763579711</v>
      </c>
      <c r="C69" s="1">
        <f t="shared" si="2"/>
        <v>51824939038</v>
      </c>
    </row>
    <row r="70" ht="14.25" customHeight="1">
      <c r="A70" s="1">
        <v>100.0</v>
      </c>
      <c r="B70" s="1">
        <f t="shared" si="1"/>
        <v>0.000006013512218</v>
      </c>
      <c r="C70" s="1">
        <f t="shared" si="2"/>
        <v>36720903363</v>
      </c>
    </row>
    <row r="71" ht="14.25" customHeight="1">
      <c r="A71" s="1">
        <v>40.0</v>
      </c>
      <c r="B71" s="1">
        <f t="shared" si="1"/>
        <v>0.000004126433534</v>
      </c>
      <c r="C71" s="1">
        <f t="shared" si="2"/>
        <v>26018838976</v>
      </c>
    </row>
    <row r="72" ht="14.25" customHeight="1">
      <c r="A72" s="1">
        <v>10.0</v>
      </c>
      <c r="B72" s="1">
        <f t="shared" si="1"/>
        <v>0.000002728809802</v>
      </c>
      <c r="C72" s="1">
        <f t="shared" si="2"/>
        <v>17790217022</v>
      </c>
    </row>
    <row r="73" ht="14.25" customHeight="1">
      <c r="A73" s="1">
        <v>20.0</v>
      </c>
      <c r="B73" s="1">
        <f t="shared" si="1"/>
        <v>0.000003108614766</v>
      </c>
      <c r="C73" s="1">
        <f t="shared" si="2"/>
        <v>20028912779</v>
      </c>
    </row>
    <row r="74" ht="14.25" customHeight="1">
      <c r="A74" s="1">
        <v>3.0</v>
      </c>
      <c r="B74" s="1">
        <f t="shared" si="1"/>
        <v>0.000002176065994</v>
      </c>
      <c r="C74" s="1">
        <f t="shared" si="2"/>
        <v>14480013962</v>
      </c>
    </row>
    <row r="75" ht="14.25" customHeight="1">
      <c r="A75" s="1">
        <v>10.0</v>
      </c>
      <c r="B75" s="1">
        <f t="shared" si="1"/>
        <v>0.000002728809802</v>
      </c>
      <c r="C75" s="1">
        <f t="shared" si="2"/>
        <v>17790217022</v>
      </c>
    </row>
    <row r="76" ht="14.25" customHeight="1">
      <c r="A76" s="1">
        <v>90.0</v>
      </c>
      <c r="B76" s="1">
        <f t="shared" si="1"/>
        <v>0.000005758665717</v>
      </c>
      <c r="C76" s="1">
        <f t="shared" si="2"/>
        <v>35294622420</v>
      </c>
    </row>
    <row r="77" ht="14.25" customHeight="1">
      <c r="A77" s="1">
        <v>95.0</v>
      </c>
      <c r="B77" s="1">
        <f t="shared" si="1"/>
        <v>0.000005888065051</v>
      </c>
      <c r="C77" s="1">
        <f t="shared" si="2"/>
        <v>36019479457</v>
      </c>
    </row>
    <row r="78" ht="14.25" customHeight="1">
      <c r="A78" s="1">
        <v>105.0</v>
      </c>
      <c r="B78" s="1">
        <f t="shared" si="1"/>
        <v>0.000006135316898</v>
      </c>
      <c r="C78" s="1">
        <f t="shared" si="2"/>
        <v>37400769107</v>
      </c>
    </row>
    <row r="79" ht="14.25" customHeight="1">
      <c r="A79" s="1">
        <v>101.0</v>
      </c>
      <c r="B79" s="1">
        <f t="shared" si="1"/>
        <v>0.000006038155349</v>
      </c>
      <c r="C79" s="1">
        <f t="shared" si="2"/>
        <v>36858545496</v>
      </c>
    </row>
    <row r="80" ht="14.25" customHeight="1">
      <c r="A80" s="1">
        <v>20.0</v>
      </c>
      <c r="B80" s="1">
        <f t="shared" si="1"/>
        <v>0.000003108614766</v>
      </c>
      <c r="C80" s="1">
        <f t="shared" si="2"/>
        <v>20028912779</v>
      </c>
    </row>
    <row r="81" ht="14.25" customHeight="1">
      <c r="A81" s="1">
        <v>9.0</v>
      </c>
      <c r="B81" s="1">
        <f t="shared" si="1"/>
        <v>0.00000267528995</v>
      </c>
      <c r="C81" s="1">
        <f t="shared" si="2"/>
        <v>17472567027</v>
      </c>
    </row>
    <row r="82" ht="14.25" customHeight="1">
      <c r="A82" s="1">
        <v>8.8</v>
      </c>
      <c r="B82" s="1">
        <f t="shared" si="1"/>
        <v>0.000002664010969</v>
      </c>
      <c r="C82" s="1">
        <f t="shared" si="2"/>
        <v>17405551276</v>
      </c>
    </row>
    <row r="83" ht="14.25" customHeight="1">
      <c r="A83" s="1">
        <v>35.0</v>
      </c>
      <c r="B83" s="1">
        <f t="shared" si="1"/>
        <v>0.000003906071277</v>
      </c>
      <c r="C83" s="1">
        <f t="shared" si="2"/>
        <v>24744742644</v>
      </c>
    </row>
    <row r="84" ht="14.25" customHeight="1">
      <c r="A84" s="1">
        <v>31.0</v>
      </c>
      <c r="B84" s="1">
        <f t="shared" si="1"/>
        <v>0.000003716018384</v>
      </c>
      <c r="C84" s="1">
        <f t="shared" si="2"/>
        <v>23640973356</v>
      </c>
    </row>
    <row r="85" ht="14.25" customHeight="1">
      <c r="A85" s="1">
        <v>40.0</v>
      </c>
      <c r="B85" s="1">
        <f t="shared" si="1"/>
        <v>0.000004126433534</v>
      </c>
      <c r="C85" s="1">
        <f t="shared" si="2"/>
        <v>26018838976</v>
      </c>
    </row>
    <row r="86" ht="14.25" customHeight="1">
      <c r="A86" s="1">
        <v>33.0</v>
      </c>
      <c r="B86" s="1">
        <f t="shared" si="1"/>
        <v>0.000003812742074</v>
      </c>
      <c r="C86" s="1">
        <f t="shared" si="2"/>
        <v>24203300787</v>
      </c>
    </row>
    <row r="87" ht="14.25" customHeight="1">
      <c r="A87" s="1">
        <v>20.0</v>
      </c>
      <c r="B87" s="1">
        <f t="shared" si="1"/>
        <v>0.000003108614766</v>
      </c>
      <c r="C87" s="1">
        <f t="shared" si="2"/>
        <v>20028912779</v>
      </c>
    </row>
    <row r="88" ht="14.25" customHeight="1">
      <c r="A88" s="1">
        <v>30.0</v>
      </c>
      <c r="B88" s="1">
        <f t="shared" si="1"/>
        <v>0.000003666274966</v>
      </c>
      <c r="C88" s="1">
        <f t="shared" si="2"/>
        <v>23351293819</v>
      </c>
    </row>
    <row r="89" ht="14.25" customHeight="1">
      <c r="A89" s="1">
        <v>27.0</v>
      </c>
      <c r="B89" s="1">
        <f t="shared" si="1"/>
        <v>0.000003510901981</v>
      </c>
      <c r="C89" s="1">
        <f t="shared" si="2"/>
        <v>22444303459</v>
      </c>
    </row>
    <row r="90" ht="14.25" customHeight="1">
      <c r="A90" s="1">
        <v>15.0</v>
      </c>
      <c r="B90" s="1">
        <f t="shared" si="1"/>
        <v>0.000002944953373</v>
      </c>
      <c r="C90" s="1">
        <f t="shared" si="2"/>
        <v>19067460323</v>
      </c>
    </row>
    <row r="91" ht="14.25" customHeight="1">
      <c r="A91" s="1">
        <v>10.0</v>
      </c>
      <c r="B91" s="1">
        <f t="shared" si="1"/>
        <v>0.000002728809802</v>
      </c>
      <c r="C91" s="1">
        <f t="shared" si="2"/>
        <v>17790217022</v>
      </c>
    </row>
    <row r="92" ht="14.25" customHeight="1">
      <c r="A92" s="1">
        <v>8.0</v>
      </c>
      <c r="B92" s="1">
        <f t="shared" si="1"/>
        <v>0.000002616701503</v>
      </c>
      <c r="C92" s="1">
        <f t="shared" si="2"/>
        <v>17124174069</v>
      </c>
    </row>
    <row r="93" ht="14.25" customHeight="1">
      <c r="A93" s="1">
        <v>3.0</v>
      </c>
      <c r="B93" s="1">
        <f t="shared" si="1"/>
        <v>0.000002176065994</v>
      </c>
      <c r="C93" s="1">
        <f t="shared" si="2"/>
        <v>14480013962</v>
      </c>
    </row>
    <row r="94" ht="14.25" customHeight="1">
      <c r="A94" s="1">
        <v>4.0</v>
      </c>
      <c r="B94" s="1">
        <f t="shared" si="1"/>
        <v>0.000002296997617</v>
      </c>
      <c r="C94" s="1">
        <f t="shared" si="2"/>
        <v>15210150264</v>
      </c>
    </row>
    <row r="95" ht="14.25" customHeight="1">
      <c r="A95" s="1">
        <v>3.8</v>
      </c>
      <c r="B95" s="1">
        <f t="shared" si="1"/>
        <v>0.000002274953806</v>
      </c>
      <c r="C95" s="1">
        <f t="shared" si="2"/>
        <v>15077323079</v>
      </c>
    </row>
    <row r="96" ht="14.25" customHeight="1">
      <c r="A96" s="1">
        <v>8.0</v>
      </c>
      <c r="B96" s="1">
        <f t="shared" si="1"/>
        <v>0.000002616701503</v>
      </c>
      <c r="C96" s="1">
        <f t="shared" si="2"/>
        <v>17124174069</v>
      </c>
    </row>
    <row r="97" ht="14.25" customHeight="1">
      <c r="A97" s="1">
        <v>3.0</v>
      </c>
      <c r="B97" s="1">
        <f t="shared" si="1"/>
        <v>0.000002176065994</v>
      </c>
      <c r="C97" s="1">
        <f t="shared" si="2"/>
        <v>14480013962</v>
      </c>
    </row>
    <row r="98" ht="14.25" customHeight="1">
      <c r="A98" s="1">
        <v>7.0</v>
      </c>
      <c r="B98" s="1">
        <f t="shared" si="1"/>
        <v>0.00000255182976</v>
      </c>
      <c r="C98" s="1">
        <f t="shared" si="2"/>
        <v>16737593299</v>
      </c>
    </row>
    <row r="99" ht="14.25" customHeight="1">
      <c r="A99" s="1">
        <v>8.0</v>
      </c>
      <c r="B99" s="1">
        <f t="shared" si="1"/>
        <v>0.000002616701503</v>
      </c>
      <c r="C99" s="1">
        <f t="shared" si="2"/>
        <v>17124174069</v>
      </c>
    </row>
    <row r="100" ht="14.25" customHeight="1">
      <c r="A100" s="1">
        <v>10.0</v>
      </c>
      <c r="B100" s="1">
        <f t="shared" si="1"/>
        <v>0.000002728809802</v>
      </c>
      <c r="C100" s="1">
        <f t="shared" si="2"/>
        <v>17790217022</v>
      </c>
    </row>
    <row r="101" ht="14.25" customHeight="1">
      <c r="A101" s="1">
        <v>9.0</v>
      </c>
      <c r="B101" s="1">
        <f t="shared" si="1"/>
        <v>0.00000267528995</v>
      </c>
      <c r="C101" s="1">
        <f t="shared" si="2"/>
        <v>17472567027</v>
      </c>
    </row>
    <row r="102" ht="14.25" customHeight="1">
      <c r="A102" s="1">
        <v>5.0</v>
      </c>
      <c r="B102" s="1">
        <f t="shared" si="1"/>
        <v>0.000002395408725</v>
      </c>
      <c r="C102" s="1">
        <f t="shared" si="2"/>
        <v>15801747463</v>
      </c>
    </row>
    <row r="103" ht="14.25" customHeight="1">
      <c r="A103" s="7">
        <v>9.5</v>
      </c>
      <c r="B103" s="1">
        <f t="shared" si="1"/>
        <v>0.000002702621978</v>
      </c>
      <c r="C103" s="1">
        <f t="shared" si="2"/>
        <v>17634858632</v>
      </c>
    </row>
    <row r="104" ht="14.25" customHeight="1">
      <c r="B104" s="1" t="str">
        <f t="shared" si="1"/>
        <v>#VALUE!</v>
      </c>
      <c r="C104" s="1" t="str">
        <f t="shared" si="2"/>
        <v>#VALUE!</v>
      </c>
    </row>
    <row r="105" ht="14.25" customHeight="1">
      <c r="B105" s="1" t="str">
        <f t="shared" si="1"/>
        <v>#VALUE!</v>
      </c>
      <c r="C105" s="1" t="str">
        <f t="shared" si="2"/>
        <v>#VALUE!</v>
      </c>
    </row>
    <row r="106" ht="14.25" customHeight="1">
      <c r="B106" s="1" t="str">
        <f t="shared" si="1"/>
        <v>#VALUE!</v>
      </c>
      <c r="C106" s="1" t="str">
        <f t="shared" si="2"/>
        <v>#VALUE!</v>
      </c>
    </row>
    <row r="107" ht="14.25" customHeight="1">
      <c r="B107" s="1" t="str">
        <f t="shared" si="1"/>
        <v>#VALUE!</v>
      </c>
      <c r="C107" s="1" t="str">
        <f t="shared" si="2"/>
        <v>#VALUE!</v>
      </c>
    </row>
    <row r="108" ht="14.25" customHeight="1">
      <c r="B108" s="1" t="str">
        <f t="shared" si="1"/>
        <v>#VALUE!</v>
      </c>
      <c r="C108" s="1" t="str">
        <f t="shared" si="2"/>
        <v>#VALUE!</v>
      </c>
    </row>
    <row r="109" ht="14.25" customHeight="1">
      <c r="B109" s="1" t="str">
        <f t="shared" si="1"/>
        <v>#VALUE!</v>
      </c>
      <c r="C109" s="1" t="str">
        <f t="shared" si="2"/>
        <v>#VALUE!</v>
      </c>
    </row>
    <row r="110" ht="14.25" customHeight="1">
      <c r="B110" s="1" t="str">
        <f t="shared" si="1"/>
        <v>#VALUE!</v>
      </c>
      <c r="C110" s="1" t="str">
        <f t="shared" si="2"/>
        <v>#VALUE!</v>
      </c>
    </row>
    <row r="111" ht="14.25" customHeight="1">
      <c r="B111" s="1" t="str">
        <f t="shared" si="1"/>
        <v>#VALUE!</v>
      </c>
      <c r="C111" s="1" t="str">
        <f t="shared" si="2"/>
        <v>#VALUE!</v>
      </c>
    </row>
    <row r="112" ht="14.25" customHeight="1">
      <c r="B112" s="1" t="str">
        <f t="shared" si="1"/>
        <v>#VALUE!</v>
      </c>
      <c r="C112" s="1" t="str">
        <f t="shared" si="2"/>
        <v>#VALUE!</v>
      </c>
    </row>
    <row r="113" ht="14.25" customHeight="1">
      <c r="B113" s="1" t="str">
        <f t="shared" si="1"/>
        <v>#VALUE!</v>
      </c>
      <c r="C113" s="1" t="str">
        <f t="shared" si="2"/>
        <v>#VALUE!</v>
      </c>
    </row>
    <row r="114" ht="14.25" customHeight="1">
      <c r="B114" s="1" t="str">
        <f t="shared" si="1"/>
        <v>#VALUE!</v>
      </c>
      <c r="C114" s="1" t="str">
        <f t="shared" si="2"/>
        <v>#VALUE!</v>
      </c>
    </row>
    <row r="115" ht="14.25" customHeight="1">
      <c r="B115" s="1" t="str">
        <f t="shared" si="1"/>
        <v>#VALUE!</v>
      </c>
      <c r="C115" s="1" t="str">
        <f t="shared" si="2"/>
        <v>#VALUE!</v>
      </c>
    </row>
    <row r="116" ht="14.25" customHeight="1">
      <c r="B116" s="1" t="str">
        <f t="shared" si="1"/>
        <v>#VALUE!</v>
      </c>
      <c r="C116" s="1" t="str">
        <f t="shared" si="2"/>
        <v>#VALUE!</v>
      </c>
    </row>
    <row r="117" ht="14.25" customHeight="1">
      <c r="B117" s="1" t="str">
        <f t="shared" si="1"/>
        <v>#VALUE!</v>
      </c>
      <c r="C117" s="1" t="str">
        <f t="shared" si="2"/>
        <v>#VALUE!</v>
      </c>
    </row>
    <row r="118" ht="14.25" customHeight="1">
      <c r="B118" s="1" t="str">
        <f t="shared" si="1"/>
        <v>#VALUE!</v>
      </c>
      <c r="C118" s="1" t="str">
        <f t="shared" si="2"/>
        <v>#VALUE!</v>
      </c>
    </row>
    <row r="119" ht="14.25" customHeight="1">
      <c r="B119" s="1" t="str">
        <f t="shared" si="1"/>
        <v>#VALUE!</v>
      </c>
      <c r="C119" s="1" t="str">
        <f t="shared" si="2"/>
        <v>#VALUE!</v>
      </c>
    </row>
    <row r="120" ht="14.25" customHeight="1">
      <c r="B120" s="1" t="str">
        <f t="shared" si="1"/>
        <v>#VALUE!</v>
      </c>
      <c r="C120" s="1" t="str">
        <f t="shared" si="2"/>
        <v>#VALUE!</v>
      </c>
    </row>
    <row r="121" ht="14.25" customHeight="1">
      <c r="B121" s="1" t="str">
        <f t="shared" si="1"/>
        <v>#VALUE!</v>
      </c>
      <c r="C121" s="1" t="str">
        <f t="shared" si="2"/>
        <v>#VALUE!</v>
      </c>
    </row>
    <row r="122" ht="14.25" customHeight="1">
      <c r="B122" s="1" t="str">
        <f t="shared" si="1"/>
        <v>#VALUE!</v>
      </c>
      <c r="C122" s="1" t="str">
        <f t="shared" si="2"/>
        <v>#VALUE!</v>
      </c>
    </row>
    <row r="123" ht="14.25" customHeight="1">
      <c r="B123" s="1" t="str">
        <f t="shared" si="1"/>
        <v>#VALUE!</v>
      </c>
      <c r="C123" s="1" t="str">
        <f t="shared" si="2"/>
        <v>#VALUE!</v>
      </c>
    </row>
    <row r="124" ht="14.25" customHeight="1">
      <c r="B124" s="1" t="str">
        <f t="shared" si="1"/>
        <v>#VALUE!</v>
      </c>
      <c r="C124" s="1" t="str">
        <f t="shared" si="2"/>
        <v>#VALUE!</v>
      </c>
    </row>
    <row r="125" ht="14.25" customHeight="1">
      <c r="B125" s="1" t="str">
        <f t="shared" si="1"/>
        <v>#VALUE!</v>
      </c>
      <c r="C125" s="1" t="str">
        <f t="shared" si="2"/>
        <v>#VALUE!</v>
      </c>
    </row>
    <row r="126" ht="14.25" customHeight="1">
      <c r="B126" s="1" t="str">
        <f t="shared" si="1"/>
        <v>#VALUE!</v>
      </c>
      <c r="C126" s="1" t="str">
        <f t="shared" si="2"/>
        <v>#VALUE!</v>
      </c>
    </row>
    <row r="127" ht="14.25" customHeight="1">
      <c r="B127" s="1" t="str">
        <f t="shared" si="1"/>
        <v>#VALUE!</v>
      </c>
      <c r="C127" s="1" t="str">
        <f t="shared" si="2"/>
        <v>#VALUE!</v>
      </c>
    </row>
    <row r="128" ht="14.25" customHeight="1">
      <c r="B128" s="1" t="str">
        <f t="shared" si="1"/>
        <v>#VALUE!</v>
      </c>
      <c r="C128" s="1" t="str">
        <f t="shared" si="2"/>
        <v>#VALUE!</v>
      </c>
    </row>
    <row r="129" ht="14.25" customHeight="1">
      <c r="B129" s="1" t="str">
        <f t="shared" si="1"/>
        <v>#VALUE!</v>
      </c>
      <c r="C129" s="1" t="str">
        <f t="shared" si="2"/>
        <v>#VALUE!</v>
      </c>
    </row>
    <row r="130" ht="14.25" customHeight="1">
      <c r="B130" s="1" t="str">
        <f t="shared" si="1"/>
        <v>#VALUE!</v>
      </c>
      <c r="C130" s="1" t="str">
        <f t="shared" si="2"/>
        <v>#VALUE!</v>
      </c>
    </row>
    <row r="131" ht="14.25" customHeight="1">
      <c r="B131" s="1" t="str">
        <f t="shared" si="1"/>
        <v>#VALUE!</v>
      </c>
      <c r="C131" s="1" t="str">
        <f t="shared" si="2"/>
        <v>#VALUE!</v>
      </c>
    </row>
    <row r="132" ht="14.25" customHeight="1">
      <c r="B132" s="1" t="str">
        <f t="shared" si="1"/>
        <v>#VALUE!</v>
      </c>
      <c r="C132" s="1" t="str">
        <f t="shared" si="2"/>
        <v>#VALUE!</v>
      </c>
    </row>
    <row r="133" ht="14.25" customHeight="1">
      <c r="B133" s="1" t="str">
        <f t="shared" si="1"/>
        <v>#VALUE!</v>
      </c>
      <c r="C133" s="1" t="str">
        <f t="shared" si="2"/>
        <v>#VALUE!</v>
      </c>
    </row>
    <row r="134" ht="14.25" customHeight="1">
      <c r="B134" s="1" t="str">
        <f t="shared" si="1"/>
        <v>#VALUE!</v>
      </c>
      <c r="C134" s="1" t="str">
        <f t="shared" si="2"/>
        <v>#VALUE!</v>
      </c>
    </row>
    <row r="135" ht="14.25" customHeight="1">
      <c r="B135" s="1" t="str">
        <f t="shared" si="1"/>
        <v>#VALUE!</v>
      </c>
      <c r="C135" s="1" t="str">
        <f t="shared" si="2"/>
        <v>#VALUE!</v>
      </c>
    </row>
    <row r="136" ht="14.25" customHeight="1">
      <c r="B136" s="1" t="str">
        <f t="shared" si="1"/>
        <v>#VALUE!</v>
      </c>
      <c r="C136" s="1" t="str">
        <f t="shared" si="2"/>
        <v>#VALUE!</v>
      </c>
    </row>
    <row r="137" ht="14.25" customHeight="1">
      <c r="B137" s="1" t="str">
        <f t="shared" si="1"/>
        <v>#VALUE!</v>
      </c>
      <c r="C137" s="1" t="str">
        <f t="shared" si="2"/>
        <v>#VALUE!</v>
      </c>
    </row>
    <row r="138" ht="14.25" customHeight="1">
      <c r="B138" s="1" t="str">
        <f t="shared" si="1"/>
        <v>#VALUE!</v>
      </c>
      <c r="C138" s="1" t="str">
        <f t="shared" si="2"/>
        <v>#VALUE!</v>
      </c>
    </row>
    <row r="139" ht="14.25" customHeight="1">
      <c r="B139" s="1" t="str">
        <f t="shared" si="1"/>
        <v>#VALUE!</v>
      </c>
      <c r="C139" s="1" t="str">
        <f t="shared" si="2"/>
        <v>#VALUE!</v>
      </c>
    </row>
    <row r="140" ht="14.25" customHeight="1">
      <c r="B140" s="1" t="str">
        <f t="shared" si="1"/>
        <v>#VALUE!</v>
      </c>
      <c r="C140" s="1" t="str">
        <f t="shared" si="2"/>
        <v>#VALUE!</v>
      </c>
    </row>
    <row r="141" ht="14.25" customHeight="1">
      <c r="B141" s="1" t="str">
        <f t="shared" si="1"/>
        <v>#VALUE!</v>
      </c>
      <c r="C141" s="1" t="str">
        <f t="shared" si="2"/>
        <v>#VALUE!</v>
      </c>
    </row>
    <row r="142" ht="14.25" customHeight="1">
      <c r="B142" s="1" t="str">
        <f t="shared" si="1"/>
        <v>#VALUE!</v>
      </c>
      <c r="C142" s="1" t="str">
        <f t="shared" si="2"/>
        <v>#VALUE!</v>
      </c>
    </row>
    <row r="143" ht="14.25" customHeight="1">
      <c r="B143" s="1" t="str">
        <f t="shared" si="1"/>
        <v>#VALUE!</v>
      </c>
      <c r="C143" s="1" t="str">
        <f t="shared" si="2"/>
        <v>#VALUE!</v>
      </c>
    </row>
    <row r="144" ht="14.25" customHeight="1">
      <c r="B144" s="1" t="str">
        <f t="shared" si="1"/>
        <v>#VALUE!</v>
      </c>
      <c r="C144" s="1" t="str">
        <f t="shared" si="2"/>
        <v>#VALUE!</v>
      </c>
    </row>
    <row r="145" ht="14.25" customHeight="1">
      <c r="B145" s="1" t="str">
        <f t="shared" si="1"/>
        <v>#VALUE!</v>
      </c>
      <c r="C145" s="1" t="str">
        <f t="shared" si="2"/>
        <v>#VALUE!</v>
      </c>
    </row>
    <row r="146" ht="14.25" customHeight="1">
      <c r="B146" s="1" t="str">
        <f t="shared" si="1"/>
        <v>#VALUE!</v>
      </c>
      <c r="C146" s="1" t="str">
        <f t="shared" si="2"/>
        <v>#VALUE!</v>
      </c>
    </row>
    <row r="147" ht="14.25" customHeight="1">
      <c r="B147" s="1" t="str">
        <f t="shared" si="1"/>
        <v>#VALUE!</v>
      </c>
      <c r="C147" s="1" t="str">
        <f t="shared" si="2"/>
        <v>#VALUE!</v>
      </c>
    </row>
    <row r="148" ht="14.25" customHeight="1">
      <c r="B148" s="1" t="str">
        <f t="shared" si="1"/>
        <v>#VALUE!</v>
      </c>
      <c r="C148" s="1" t="str">
        <f t="shared" si="2"/>
        <v>#VALUE!</v>
      </c>
    </row>
    <row r="149" ht="14.25" customHeight="1">
      <c r="B149" s="1" t="str">
        <f t="shared" si="1"/>
        <v>#VALUE!</v>
      </c>
      <c r="C149" s="1" t="str">
        <f t="shared" si="2"/>
        <v>#VALUE!</v>
      </c>
    </row>
    <row r="150" ht="14.25" customHeight="1">
      <c r="B150" s="1" t="str">
        <f t="shared" si="1"/>
        <v>#VALUE!</v>
      </c>
      <c r="C150" s="1" t="str">
        <f t="shared" si="2"/>
        <v>#VALUE!</v>
      </c>
    </row>
    <row r="151" ht="14.25" customHeight="1">
      <c r="B151" s="1" t="str">
        <f t="shared" si="1"/>
        <v>#VALUE!</v>
      </c>
      <c r="C151" s="1" t="str">
        <f t="shared" si="2"/>
        <v>#VALUE!</v>
      </c>
    </row>
    <row r="152" ht="14.25" customHeight="1">
      <c r="B152" s="1" t="str">
        <f t="shared" si="1"/>
        <v>#VALUE!</v>
      </c>
      <c r="C152" s="1" t="str">
        <f t="shared" si="2"/>
        <v>#VALUE!</v>
      </c>
    </row>
    <row r="153" ht="14.25" customHeight="1">
      <c r="B153" s="1" t="str">
        <f t="shared" si="1"/>
        <v>#VALUE!</v>
      </c>
      <c r="C153" s="1" t="str">
        <f t="shared" si="2"/>
        <v>#VALUE!</v>
      </c>
    </row>
    <row r="154" ht="14.25" customHeight="1">
      <c r="B154" s="1" t="str">
        <f t="shared" si="1"/>
        <v>#VALUE!</v>
      </c>
      <c r="C154" s="1" t="str">
        <f t="shared" si="2"/>
        <v>#VALUE!</v>
      </c>
    </row>
    <row r="155" ht="14.25" customHeight="1">
      <c r="B155" s="1" t="str">
        <f t="shared" si="1"/>
        <v>#VALUE!</v>
      </c>
      <c r="C155" s="1" t="str">
        <f t="shared" si="2"/>
        <v>#VALUE!</v>
      </c>
    </row>
    <row r="156" ht="14.25" customHeight="1">
      <c r="B156" s="1" t="str">
        <f t="shared" si="1"/>
        <v>#VALUE!</v>
      </c>
      <c r="C156" s="1" t="str">
        <f t="shared" si="2"/>
        <v>#VALUE!</v>
      </c>
    </row>
    <row r="157" ht="14.25" customHeight="1">
      <c r="B157" s="1" t="str">
        <f t="shared" si="1"/>
        <v>#VALUE!</v>
      </c>
      <c r="C157" s="1" t="str">
        <f t="shared" si="2"/>
        <v>#VALUE!</v>
      </c>
    </row>
    <row r="158" ht="14.25" customHeight="1">
      <c r="B158" s="1" t="str">
        <f t="shared" si="1"/>
        <v>#VALUE!</v>
      </c>
      <c r="C158" s="1" t="str">
        <f t="shared" si="2"/>
        <v>#VALUE!</v>
      </c>
    </row>
    <row r="159" ht="14.25" customHeight="1">
      <c r="B159" s="1" t="str">
        <f t="shared" si="1"/>
        <v>#VALUE!</v>
      </c>
      <c r="C159" s="1" t="str">
        <f t="shared" si="2"/>
        <v>#VALUE!</v>
      </c>
    </row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63"/>
    <col customWidth="1" min="5" max="5" width="14.88"/>
    <col customWidth="1" min="6" max="6" width="8.63"/>
    <col customWidth="1" min="7" max="7" width="12.63"/>
    <col customWidth="1" min="8" max="26" width="8.63"/>
  </cols>
  <sheetData>
    <row r="1" ht="14.25" customHeight="1">
      <c r="A1" s="1" t="s">
        <v>6</v>
      </c>
      <c r="B1" s="1" t="s">
        <v>7</v>
      </c>
    </row>
    <row r="2" ht="14.25" customHeight="1">
      <c r="A2" s="1">
        <v>0.018513</v>
      </c>
      <c r="B2" s="1">
        <f t="shared" ref="B2:B4" si="1">1.15*A2</f>
        <v>0.02128995</v>
      </c>
    </row>
    <row r="3" ht="14.25" customHeight="1">
      <c r="A3" s="1">
        <v>325.72</v>
      </c>
      <c r="B3" s="1">
        <f t="shared" si="1"/>
        <v>374.578</v>
      </c>
    </row>
    <row r="4" ht="14.25" customHeight="1">
      <c r="A4" s="1">
        <v>396.91</v>
      </c>
      <c r="B4" s="1">
        <f t="shared" si="1"/>
        <v>456.4465</v>
      </c>
      <c r="E4" s="8">
        <f>0.00002129/21</f>
        <v>0.000001013809524</v>
      </c>
    </row>
    <row r="5" ht="14.25" customHeight="1"/>
    <row r="6" ht="14.25" customHeight="1">
      <c r="G6" s="9" t="b">
        <f>0.374578/0.4
=0.374578/0.4</f>
        <v>1</v>
      </c>
    </row>
    <row r="7" ht="14.25" customHeight="1"/>
    <row r="8" ht="14.25" customHeight="1"/>
    <row r="9" ht="14.25" customHeight="1">
      <c r="F9" s="1">
        <f>0.374578/0.4</f>
        <v>0.936445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2026-01-01T11:53:17Z</dcterms:created>
  <dc:creator>Christos Gounaris</dc:creator>
</cp:coreProperties>
</file>